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Export Summary" sheetId="1" r:id="rId1"/>
    <sheet name="Product Backlog" sheetId="2" r:id="rId2"/>
    <sheet name="Sprint Backlog" sheetId="3" r:id="rId3"/>
    <sheet name="Stand up Meeting" sheetId="4" r:id="rId4"/>
    <sheet name="Retrospec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Sumeet Kumar Barua08</author>
  </authors>
  <commentList>
    <comment ref="F1" authorId="0">
      <text>
        <r>
          <rPr>
            <sz val="10"/>
            <rFont val="SimSun"/>
            <charset val="134"/>
          </rPr>
          <t xml:space="preserve">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1" authorId="0">
      <text>
        <r>
          <rPr>
            <sz val="11"/>
            <color indexed="8"/>
            <rFont val="Helvetica Neue"/>
            <charset val="0"/>
          </rPr>
          <t>Sumeet Kumar Barua08:
Please enter the dates in either of these formats: 
9/15/2016  or
15-Sep-2016</t>
        </r>
      </text>
    </comment>
    <comment ref="E1" authorId="0">
      <text>
        <r>
          <rPr>
            <sz val="11"/>
            <color indexed="8"/>
            <rFont val="Helvetica Neue"/>
            <charset val="0"/>
          </rPr>
          <t xml:space="preserve">Sumeet Kumar Barua08:
Please enter the dates in either of these formats: 
9/15/2016  or
15-Sep-2016
</t>
        </r>
      </text>
    </comment>
    <comment ref="H2" authorId="0">
      <text>
        <r>
          <rPr>
            <sz val="11"/>
            <color indexed="8"/>
            <rFont val="Helvetica Neue"/>
            <charset val="0"/>
          </rPr>
          <t xml:space="preserve">Sumeet Kumar Barua08:
This is the total task estimated in hours for all the user stories </t>
        </r>
      </text>
    </comment>
    <comment ref="I2" authorId="0">
      <text>
        <r>
          <rPr>
            <sz val="11"/>
            <color indexed="8"/>
            <rFont val="Helvetica Neue"/>
            <charset val="0"/>
          </rPr>
          <t xml:space="preserve">Sumeet Kumar Barua08:
Pending effort hours after completion of day 1 work
</t>
        </r>
      </text>
    </comment>
    <comment ref="J2" authorId="0">
      <text>
        <r>
          <rPr>
            <sz val="11"/>
            <color indexed="8"/>
            <rFont val="Helvetica Neue"/>
            <charset val="0"/>
          </rPr>
          <t>Sumeet Kumar Barua08:
Pending effort hours after completion of day 2 work</t>
        </r>
      </text>
    </comment>
    <comment ref="K2" authorId="0">
      <text>
        <r>
          <rPr>
            <sz val="11"/>
            <color indexed="8"/>
            <rFont val="Helvetica Neue"/>
            <charset val="0"/>
          </rPr>
          <t>Sumeet Kumar Barua08:
Pending effort hours after completion of day 3 work</t>
        </r>
      </text>
    </comment>
    <comment ref="L2" authorId="0">
      <text>
        <r>
          <rPr>
            <sz val="11"/>
            <color indexed="8"/>
            <rFont val="Helvetica Neue"/>
            <charset val="0"/>
          </rPr>
          <t xml:space="preserve">Sumeet Kumar Barua08:
Pending effort hours after completion of day 4 work
</t>
        </r>
      </text>
    </comment>
    <comment ref="M2" authorId="0">
      <text>
        <r>
          <rPr>
            <sz val="11"/>
            <color indexed="8"/>
            <rFont val="Helvetica Neue"/>
            <charset val="0"/>
          </rPr>
          <t xml:space="preserve">Sumeet Kumar Barua08:
Pending effort hours after completion of day 5 work
</t>
        </r>
      </text>
    </comment>
    <comment ref="N2" authorId="0">
      <text>
        <r>
          <rPr>
            <sz val="11"/>
            <color indexed="8"/>
            <rFont val="Helvetica Neue"/>
            <charset val="0"/>
          </rPr>
          <t xml:space="preserve">Sumeet Kumar Barua08:
Pending effort hours after completion of day 6 work
</t>
        </r>
      </text>
    </comment>
    <comment ref="O2" authorId="0">
      <text>
        <r>
          <rPr>
            <sz val="11"/>
            <color indexed="8"/>
            <rFont val="Helvetica Neue"/>
            <charset val="0"/>
          </rPr>
          <t>Sumeet Kumar Barua08:
Pending effort hours after completion of day 7 work</t>
        </r>
      </text>
    </comment>
    <comment ref="P2" authorId="0">
      <text>
        <r>
          <rPr>
            <sz val="11"/>
            <color indexed="8"/>
            <rFont val="Helvetica Neue"/>
            <charset val="0"/>
          </rPr>
          <t xml:space="preserve">Sumeet Kumar Barua08:
Pending effort hours after completion of day 8 work
</t>
        </r>
      </text>
    </comment>
    <comment ref="Q2" authorId="0">
      <text>
        <r>
          <rPr>
            <sz val="11"/>
            <color indexed="8"/>
            <rFont val="Helvetica Neue"/>
            <charset val="0"/>
          </rPr>
          <t xml:space="preserve">Sumeet Kumar Barua08:
Pending effort hours after completion of day 9 work
</t>
        </r>
      </text>
    </comment>
    <comment ref="R2" authorId="0">
      <text>
        <r>
          <rPr>
            <sz val="11"/>
            <color indexed="8"/>
            <rFont val="Helvetica Neue"/>
            <charset val="0"/>
          </rPr>
          <t xml:space="preserve">Sumeet Kumar Barua08:
Pending effort hours after completion of day 10 work
</t>
        </r>
      </text>
    </comment>
    <comment ref="S2" authorId="0">
      <text>
        <r>
          <rPr>
            <sz val="11"/>
            <color indexed="8"/>
            <rFont val="Helvetica Neue"/>
            <charset val="0"/>
          </rPr>
          <t xml:space="preserve">Sumeet Kumar Barua08:
Pending effort hours after completion of day 11 work
</t>
        </r>
      </text>
    </comment>
    <comment ref="T2" authorId="0">
      <text>
        <r>
          <rPr>
            <sz val="11"/>
            <color indexed="8"/>
            <rFont val="Helvetica Neue"/>
            <charset val="0"/>
          </rPr>
          <t xml:space="preserve">Sumeet Kumar Barua08:
Pending effort hours after completion of day 12 work
</t>
        </r>
      </text>
    </comment>
    <comment ref="U2" authorId="0">
      <text>
        <r>
          <rPr>
            <sz val="11"/>
            <color indexed="8"/>
            <rFont val="Helvetica Neue"/>
            <charset val="0"/>
          </rPr>
          <t xml:space="preserve">Sumeet Kumar Barua08:
Pending effort hours after completion of day 13 work
</t>
        </r>
      </text>
    </comment>
    <comment ref="V2" authorId="0">
      <text>
        <r>
          <rPr>
            <sz val="11"/>
            <color indexed="8"/>
            <rFont val="Helvetica Neue"/>
            <charset val="0"/>
          </rPr>
          <t xml:space="preserve">Sumeet Kumar Barua08:
Pending effort hours after completion of day 14 work
</t>
        </r>
      </text>
    </comment>
  </commentList>
</comments>
</file>

<file path=xl/sharedStrings.xml><?xml version="1.0" encoding="utf-8"?>
<sst xmlns="http://schemas.openxmlformats.org/spreadsheetml/2006/main" count="253" uniqueCount="162">
  <si>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</si>
  <si>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</si>
  <si>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</si>
  <si>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</si>
  <si>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</si>
  <si>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</si>
  <si>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Sprint Backlog</t>
  </si>
  <si>
    <t>Stand up Meeting</t>
  </si>
  <si>
    <t>Retrospection</t>
  </si>
  <si>
    <t>Planned Sprint</t>
  </si>
  <si>
    <t>Actual Sprint</t>
  </si>
  <si>
    <t>US ID</t>
  </si>
  <si>
    <t>User Story Description</t>
  </si>
  <si>
    <t>MOSCOW</t>
  </si>
  <si>
    <t>Dependency</t>
  </si>
  <si>
    <t>Assignee</t>
  </si>
  <si>
    <t>Status</t>
  </si>
  <si>
    <t xml:space="preserve">              18-Sep-2025</t>
  </si>
  <si>
    <t xml:space="preserve"> M 1</t>
  </si>
  <si>
    <t>Objective: Set up foundational database. Tasks include designing schema for flights, setting up DB (SQLite/PostgreSQL), populating with simulated data, and practicing SQL queries (insert, update, joins, transactions, constraints). Output: Functional flight database with sample data.</t>
  </si>
  <si>
    <t>Must Have</t>
  </si>
  <si>
    <t>None</t>
  </si>
  <si>
    <t>Ronak Sharma</t>
  </si>
  <si>
    <t>Completed</t>
  </si>
  <si>
    <t xml:space="preserve"> M 2</t>
  </si>
  <si>
    <t>Objective: Build REST APIs for flight data retrieval and search. Tasks include implementing endpoints, input validation, sorting (price/duration), dynamic pricing based on demand and seat availability, and integrating simulated airline APIs. Output: Working API with pricing logic.</t>
  </si>
  <si>
    <t>Milestone 1</t>
  </si>
  <si>
    <t xml:space="preserve"> M 3</t>
  </si>
  <si>
    <t>Objective: Implement booking workflow with concurrency safety. Tasks include schema for bookings, seat selection, passenger info, simulated payments, PNR generation, and booking cancellation/history endpoints. Output: End-to-end booking process with concurrency-safe transactions.</t>
  </si>
  <si>
    <t>Milestone 2</t>
  </si>
  <si>
    <t xml:space="preserve"> M 4</t>
  </si>
  <si>
    <t>Objective: Build frontend interface and integrate APIs. Tasks include designing UI (HTML/CSS/JS/React), connecting flight search &amp; booking APIs, showing dynamic prices, building booking flow UI, and generating booking receipts. Output: Fully functional frontend with backend integration.</t>
  </si>
  <si>
    <t>Milestone 3</t>
  </si>
  <si>
    <t>Task ID</t>
  </si>
  <si>
    <t>Task Description</t>
  </si>
  <si>
    <t>Task Start Date</t>
  </si>
  <si>
    <t>Task Completion Date</t>
  </si>
  <si>
    <t>Activity</t>
  </si>
  <si>
    <t>Original Estimate Effort (In Hours)</t>
  </si>
  <si>
    <t>Day 1</t>
  </si>
  <si>
    <t>Day 2</t>
  </si>
  <si>
    <t>Day 3</t>
  </si>
  <si>
    <t>Day 4</t>
  </si>
  <si>
    <t>Day 5</t>
  </si>
  <si>
    <t>Day 6</t>
  </si>
  <si>
    <t>Day 7</t>
  </si>
  <si>
    <t>Day 8</t>
  </si>
  <si>
    <t>Day 9</t>
  </si>
  <si>
    <t>Day 10</t>
  </si>
  <si>
    <t>Day 11</t>
  </si>
  <si>
    <t>Day 12</t>
  </si>
  <si>
    <t>Day 13</t>
  </si>
  <si>
    <t>Day 14</t>
  </si>
  <si>
    <t>US001</t>
  </si>
  <si>
    <t>T2</t>
  </si>
  <si>
    <t>Populate database with simulated flight data</t>
  </si>
  <si>
    <t>2025-09-04</t>
  </si>
  <si>
    <t>2025-09-06</t>
  </si>
  <si>
    <t>Backend Setup</t>
  </si>
  <si>
    <t>Done</t>
  </si>
  <si>
    <t>✔</t>
  </si>
  <si>
    <t>T3</t>
  </si>
  <si>
    <t>Practice SQL queries (joins, transactions, constraints)</t>
  </si>
  <si>
    <t>2025-09-07</t>
  </si>
  <si>
    <t>2025-09-09</t>
  </si>
  <si>
    <t>Database Practice</t>
  </si>
  <si>
    <t>US002</t>
  </si>
  <si>
    <t>T4</t>
  </si>
  <si>
    <t>Build REST APIs for flight retrieval and search</t>
  </si>
  <si>
    <t>2025-09-19</t>
  </si>
  <si>
    <t>2025-09-23</t>
  </si>
  <si>
    <t>Backend API Development</t>
  </si>
  <si>
    <t>T5</t>
  </si>
  <si>
    <t>Implement input validation and sorting</t>
  </si>
  <si>
    <t>2025-09-24</t>
  </si>
  <si>
    <t>2025-09-26</t>
  </si>
  <si>
    <t>Backend API Enhancement</t>
  </si>
  <si>
    <t>T6</t>
  </si>
  <si>
    <t>Add dynamic pricing logic and demand simulation</t>
  </si>
  <si>
    <t>2025-09-27</t>
  </si>
  <si>
    <t>2025-10-02</t>
  </si>
  <si>
    <t>Backend Pricing Logic</t>
  </si>
  <si>
    <t>US003</t>
  </si>
  <si>
    <t>T7</t>
  </si>
  <si>
    <t>Design booking schema (flight ID, passenger info, price)</t>
  </si>
  <si>
    <t>2025-10-03</t>
  </si>
  <si>
    <t>2025-10-05</t>
  </si>
  <si>
    <t>Database Design</t>
  </si>
  <si>
    <t>T8</t>
  </si>
  <si>
    <t>Develop multi-step booking workflow</t>
  </si>
  <si>
    <t>2025-10-06</t>
  </si>
  <si>
    <t>2025-10-10</t>
  </si>
  <si>
    <t>Backend Booking Flow</t>
  </si>
  <si>
    <t>T9</t>
  </si>
  <si>
    <t>Implement concurrency control and cancellation APIs</t>
  </si>
  <si>
    <t>2025-10-11</t>
  </si>
  <si>
    <t>2025-10-16</t>
  </si>
  <si>
    <t>Transaction Management</t>
  </si>
  <si>
    <t>US004</t>
  </si>
  <si>
    <t>T10</t>
  </si>
  <si>
    <t>Design frontend (HTML/CSS/React)</t>
  </si>
  <si>
    <t>2025-10-17</t>
  </si>
  <si>
    <t>2025-10-20</t>
  </si>
  <si>
    <t>Frontend Design</t>
  </si>
  <si>
    <t>T11</t>
  </si>
  <si>
    <t>Integrate APIs and display real-time prices</t>
  </si>
  <si>
    <t>2025-10-21</t>
  </si>
  <si>
    <t>2025-10-25</t>
  </si>
  <si>
    <t>Frontend Integration</t>
  </si>
  <si>
    <t>T12</t>
  </si>
  <si>
    <t>Generate booking receipts (PDF/JSON) and finalize testing</t>
  </si>
  <si>
    <t>2025-10-26</t>
  </si>
  <si>
    <t>2025-10-30</t>
  </si>
  <si>
    <t>Frontend Testing</t>
  </si>
  <si>
    <t xml:space="preserve">Sprint </t>
  </si>
  <si>
    <t>Day</t>
  </si>
  <si>
    <t>Impediments</t>
  </si>
  <si>
    <t>Action Taken</t>
  </si>
  <si>
    <t>Sprint 1</t>
  </si>
  <si>
    <t>Database schema causing duplicate flight entries</t>
  </si>
  <si>
    <t>Added unique constraint and fixed insert logic</t>
  </si>
  <si>
    <t>API not sorting flights by price correctly</t>
  </si>
  <si>
    <t>Implemented sort parameter and tested response</t>
  </si>
  <si>
    <t>Sprint 2</t>
  </si>
  <si>
    <t>Dynamic pricing fluctuating too high due to wrong demand factor</t>
  </si>
  <si>
    <t>Adjusted demand multiplier formula</t>
  </si>
  <si>
    <t>Sprint 3</t>
  </si>
  <si>
    <t>Booking API failing under concurrent requests</t>
  </si>
  <si>
    <t>Implemented transaction lock and rollback handling</t>
  </si>
  <si>
    <t>PDF receipt generation showing wrong passenger name</t>
  </si>
  <si>
    <t>Corrected join query in booking summary</t>
  </si>
  <si>
    <t>Sprint 4</t>
  </si>
  <si>
    <t>Frontend prices not updating in real-time</t>
  </si>
  <si>
    <t>Added useEffect with polling to refresh data</t>
  </si>
  <si>
    <t>SL #</t>
  </si>
  <si>
    <t>Sprint #</t>
  </si>
  <si>
    <t>Sprint start date</t>
  </si>
  <si>
    <t>Sprint end date</t>
  </si>
  <si>
    <t xml:space="preserve">Team member name </t>
  </si>
  <si>
    <t>Start Doing</t>
  </si>
  <si>
    <t xml:space="preserve">Stop Doing </t>
  </si>
  <si>
    <t xml:space="preserve">Continue Doing </t>
  </si>
  <si>
    <t>Action taken</t>
  </si>
  <si>
    <t>Backend Team</t>
  </si>
  <si>
    <t>Maintain consistent naming conventions in DB</t>
  </si>
  <si>
    <t>Writing SQL without constraints</t>
  </si>
  <si>
    <t>Practicing SQL joins &amp; normalization</t>
  </si>
  <si>
    <t>Implemented schema constraints and indexing</t>
  </si>
  <si>
    <t>Add input validation and structured logging</t>
  </si>
  <si>
    <t>Ignoring invalid API requests</t>
  </si>
  <si>
    <t>Testing APIs with multiple filters</t>
  </si>
  <si>
    <t>Added error handling and logging middleware</t>
  </si>
  <si>
    <t>AI/Backend Team</t>
  </si>
  <si>
    <t>Improve dynamic pricing logic and simulations</t>
  </si>
  <si>
    <t>Using static demand multipliers</t>
  </si>
  <si>
    <t>Analyzing real-time data for price updates</t>
  </si>
  <si>
    <t>Tuned pricing algorithm with demand factor</t>
  </si>
  <si>
    <t>Frontend + Backend Team</t>
  </si>
  <si>
    <t>Improve UI and API integration</t>
  </si>
  <si>
    <t>Waiting till last sprint for UI testing</t>
  </si>
  <si>
    <t>Regular sync between frontend &amp; backend</t>
  </si>
  <si>
    <t>Completed frontend integration and bug fixes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</si>
</sst>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dd/mm/yyyy"/>
    <numFmt numFmtId="181" formatCode="d&quot;-&quot;mmm&quot;-&quot;yy"/>
    <numFmt numFmtId="182" formatCode="dd/mmm/yy"/>
  </numFmts>
  <fonts count="40">
    <font>
      <sz val="10"/>
      <color indexed="8"/>
      <name val="Arial"/>
      <charset val="0"/>
    </font>
    <font>
      <b/>
      <sz val="10"/>
      <color indexed="8"/>
      <name val="Arial"/>
      <charset val="0"/>
    </font>
    <font>
      <sz val="11"/>
      <color indexed="8"/>
      <name val="Arial"/>
      <charset val="0"/>
    </font>
    <font>
      <b/>
      <sz val="11"/>
      <color indexed="8"/>
      <name val="Times Roman"/>
      <charset val="0"/>
    </font>
    <font>
      <sz val="11"/>
      <color indexed="8"/>
      <name val="Times Roman"/>
      <charset val="0"/>
    </font>
    <font>
      <sz val="12"/>
      <color indexed="8"/>
      <name val="Times Roman"/>
      <charset val="0"/>
    </font>
    <font>
      <b/>
      <sz val="8"/>
      <color indexed="8"/>
      <name val="Arial"/>
      <charset val="0"/>
    </font>
    <font>
      <sz val="10"/>
      <color theme="1"/>
      <name val="Arial"/>
      <charset val="0"/>
    </font>
    <font>
      <sz val="11"/>
      <color theme="1"/>
      <name val="Helvetica Neue"/>
      <charset val="134"/>
      <scheme val="minor"/>
    </font>
    <font>
      <b/>
      <sz val="8"/>
      <name val="Arial"/>
      <charset val="0"/>
    </font>
    <font>
      <sz val="10"/>
      <name val="Arial"/>
      <charset val="0"/>
    </font>
    <font>
      <b/>
      <sz val="8"/>
      <color theme="1"/>
      <name val="Arial"/>
      <charset val="0"/>
    </font>
    <font>
      <sz val="11"/>
      <name val="Arial"/>
      <charset val="0"/>
    </font>
    <font>
      <sz val="8"/>
      <name val="Arial"/>
      <charset val="0"/>
    </font>
    <font>
      <sz val="9"/>
      <name val="Arial"/>
      <charset val="0"/>
    </font>
    <font>
      <sz val="12"/>
      <color indexed="8"/>
      <name val="Arial"/>
      <charset val="0"/>
    </font>
    <font>
      <sz val="14"/>
      <color indexed="8"/>
      <name val="Arial"/>
      <charset val="0"/>
    </font>
    <font>
      <u/>
      <sz val="12"/>
      <color rgb="FFFF00FF"/>
      <name val="Arial"/>
      <charset val="0"/>
    </font>
    <font>
      <u/>
      <sz val="12"/>
      <color indexed="11"/>
      <name val="Arial"/>
      <charset val="0"/>
    </font>
    <font>
      <u/>
      <sz val="10"/>
      <color theme="10"/>
      <name val="Arial"/>
      <charset val="0"/>
    </font>
    <font>
      <u/>
      <sz val="10"/>
      <color theme="11"/>
      <name val="Arial"/>
      <charset val="0"/>
    </font>
    <font>
      <sz val="11"/>
      <color rgb="FFFF0000"/>
      <name val="Helvetica Neue"/>
      <charset val="0"/>
      <scheme val="minor"/>
    </font>
    <font>
      <sz val="18"/>
      <color theme="3"/>
      <name val="Helvetica Neue"/>
      <charset val="0"/>
      <scheme val="major"/>
    </font>
    <font>
      <i/>
      <sz val="11"/>
      <color rgb="FF7F7F7F"/>
      <name val="Helvetica Neue"/>
      <charset val="0"/>
      <scheme val="minor"/>
    </font>
    <font>
      <b/>
      <sz val="15"/>
      <color theme="3"/>
      <name val="Helvetica Neue"/>
      <charset val="0"/>
      <scheme val="minor"/>
    </font>
    <font>
      <b/>
      <sz val="13"/>
      <color theme="3"/>
      <name val="Helvetica Neue"/>
      <charset val="0"/>
      <scheme val="minor"/>
    </font>
    <font>
      <b/>
      <sz val="11"/>
      <color theme="3"/>
      <name val="Helvetica Neue"/>
      <charset val="0"/>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theme="0"/>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5700"/>
      <name val="Helvetica Neue"/>
      <charset val="0"/>
      <scheme val="minor"/>
    </font>
    <font>
      <sz val="11"/>
      <color theme="0"/>
      <name val="Helvetica Neue"/>
      <charset val="0"/>
      <scheme val="minor"/>
    </font>
    <font>
      <sz val="11"/>
      <color theme="1"/>
      <name val="Helvetica Neue"/>
      <charset val="0"/>
      <scheme val="minor"/>
    </font>
    <font>
      <sz val="10"/>
      <name val="SimSun"/>
      <charset val="134"/>
    </font>
    <font>
      <sz val="11"/>
      <color indexed="8"/>
      <name val="Helvetica Neue"/>
      <charset val="0"/>
    </font>
  </fonts>
  <fills count="40">
    <fill>
      <patternFill patternType="none"/>
    </fill>
    <fill>
      <patternFill patternType="gray125"/>
    </fill>
    <fill>
      <patternFill patternType="solid">
        <fgColor indexed="19"/>
        <bgColor indexed="64"/>
      </patternFill>
    </fill>
    <fill>
      <patternFill patternType="solid">
        <fgColor indexed="18"/>
        <bgColor indexed="64"/>
      </patternFill>
    </fill>
    <fill>
      <patternFill patternType="solid">
        <fgColor indexed="14"/>
        <bgColor indexed="64"/>
      </patternFill>
    </fill>
    <fill>
      <patternFill patternType="solid">
        <fgColor theme="0" tint="-0.05"/>
        <bgColor indexed="64"/>
      </patternFill>
    </fill>
    <fill>
      <patternFill patternType="solid">
        <fgColor rgb="FF92D050"/>
        <bgColor indexed="64"/>
      </patternFill>
    </fill>
    <fill>
      <patternFill patternType="solid">
        <fgColor theme="9" tint="0.399975585192419"/>
        <bgColor indexed="64"/>
      </patternFill>
    </fill>
    <fill>
      <patternFill patternType="solid">
        <fgColor indexed="9"/>
        <bgColor indexed="64"/>
      </patternFill>
    </fill>
    <fill>
      <patternFill patternType="solid">
        <fgColor indexed="1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7">
    <border>
      <left/>
      <right/>
      <top/>
      <bottom/>
      <diagonal/>
    </border>
    <border>
      <left style="thin">
        <color indexed="8"/>
      </left>
      <right style="thin">
        <color indexed="8"/>
      </right>
      <top style="thin">
        <color indexed="8"/>
      </top>
      <bottom style="thin">
        <color indexed="8"/>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13"/>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0" fillId="10" borderId="18" applyNumberFormat="0" applyFon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9" applyNumberFormat="0" applyFill="0" applyAlignment="0" applyProtection="0"/>
    <xf numFmtId="0" fontId="25" fillId="0" borderId="20" applyNumberFormat="0" applyFill="0" applyAlignment="0" applyProtection="0"/>
    <xf numFmtId="0" fontId="26" fillId="0" borderId="21" applyNumberFormat="0" applyFill="0" applyAlignment="0" applyProtection="0"/>
    <xf numFmtId="0" fontId="26" fillId="0" borderId="0" applyNumberFormat="0" applyFill="0" applyBorder="0" applyAlignment="0" applyProtection="0"/>
    <xf numFmtId="0" fontId="27" fillId="11" borderId="22" applyNumberFormat="0" applyAlignment="0" applyProtection="0"/>
    <xf numFmtId="0" fontId="28" fillId="12" borderId="23" applyNumberFormat="0" applyAlignment="0" applyProtection="0"/>
    <xf numFmtId="0" fontId="29" fillId="12" borderId="22" applyNumberFormat="0" applyAlignment="0" applyProtection="0"/>
    <xf numFmtId="0" fontId="30" fillId="13" borderId="24" applyNumberFormat="0" applyAlignment="0" applyProtection="0"/>
    <xf numFmtId="0" fontId="31" fillId="0" borderId="25" applyNumberFormat="0" applyFill="0" applyAlignment="0" applyProtection="0"/>
    <xf numFmtId="0" fontId="32" fillId="0" borderId="26" applyNumberFormat="0" applyFill="0" applyAlignment="0" applyProtection="0"/>
    <xf numFmtId="0" fontId="33" fillId="14" borderId="0" applyNumberFormat="0" applyBorder="0" applyAlignment="0" applyProtection="0"/>
    <xf numFmtId="0" fontId="34" fillId="15" borderId="0" applyNumberFormat="0" applyBorder="0" applyAlignment="0" applyProtection="0"/>
    <xf numFmtId="0" fontId="35" fillId="16" borderId="0" applyNumberFormat="0" applyBorder="0" applyAlignment="0" applyProtection="0"/>
    <xf numFmtId="0" fontId="3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3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6" fillId="33"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6" fillId="37"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7" borderId="0" applyNumberFormat="0" applyBorder="0" applyAlignment="0" applyProtection="0"/>
  </cellStyleXfs>
  <cellXfs count="59">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alignment horizontal="center" vertical="center" wrapText="1"/>
    </xf>
    <xf numFmtId="0" fontId="2" fillId="0" borderId="0" xfId="0" applyFont="1" applyAlignment="1">
      <alignment vertical="center" wrapText="1"/>
    </xf>
    <xf numFmtId="180" fontId="2" fillId="0" borderId="0" xfId="0" applyNumberFormat="1" applyFont="1" applyAlignment="1">
      <alignment vertical="center" wrapText="1"/>
    </xf>
    <xf numFmtId="0" fontId="2" fillId="0" borderId="0" xfId="0" applyFont="1" applyAlignment="1">
      <alignment horizontal="left" vertical="center" wrapText="1" indent="3"/>
    </xf>
    <xf numFmtId="0" fontId="3" fillId="0" borderId="2" xfId="0" applyFont="1" applyBorder="1" applyAlignment="1">
      <alignment horizontal="center" vertical="center" readingOrder="1"/>
    </xf>
    <xf numFmtId="0" fontId="3" fillId="0" borderId="0" xfId="0" applyFont="1" applyBorder="1" applyAlignment="1">
      <alignment horizontal="center" vertical="center" readingOrder="1"/>
    </xf>
    <xf numFmtId="0" fontId="4" fillId="0" borderId="2" xfId="0" applyFont="1" applyBorder="1" applyAlignment="1">
      <alignment vertical="center" readingOrder="1"/>
    </xf>
    <xf numFmtId="0" fontId="4" fillId="0" borderId="0" xfId="0" applyFont="1" applyBorder="1" applyAlignment="1">
      <alignment vertical="center" readingOrder="1"/>
    </xf>
    <xf numFmtId="0" fontId="5" fillId="0" borderId="2" xfId="0" applyFont="1" applyBorder="1" applyAlignment="1">
      <alignment vertical="center" readingOrder="1"/>
    </xf>
    <xf numFmtId="0" fontId="5" fillId="0" borderId="0" xfId="0" applyFont="1" applyBorder="1" applyAlignment="1">
      <alignment vertical="center" readingOrder="1"/>
    </xf>
    <xf numFmtId="0" fontId="5" fillId="0" borderId="3" xfId="0" applyFont="1" applyBorder="1" applyAlignment="1">
      <alignment vertical="center" readingOrder="1"/>
    </xf>
    <xf numFmtId="0" fontId="5" fillId="0" borderId="4" xfId="0" applyFont="1" applyBorder="1" applyAlignment="1">
      <alignment vertical="center" readingOrder="1"/>
    </xf>
    <xf numFmtId="0" fontId="3" fillId="0" borderId="5" xfId="0" applyFont="1" applyBorder="1" applyAlignment="1">
      <alignment horizontal="center" vertical="center" readingOrder="1"/>
    </xf>
    <xf numFmtId="0" fontId="4" fillId="0" borderId="5" xfId="0" applyFont="1" applyBorder="1" applyAlignment="1">
      <alignment vertical="center" readingOrder="1"/>
    </xf>
    <xf numFmtId="0" fontId="5" fillId="0" borderId="5" xfId="0" applyFont="1" applyBorder="1" applyAlignment="1">
      <alignment vertical="center" readingOrder="1"/>
    </xf>
    <xf numFmtId="0" fontId="5" fillId="0" borderId="6" xfId="0" applyFont="1" applyBorder="1" applyAlignment="1">
      <alignment vertical="center" readingOrder="1"/>
    </xf>
    <xf numFmtId="49" fontId="6" fillId="3" borderId="1" xfId="0" applyNumberFormat="1" applyFont="1" applyFill="1" applyBorder="1" applyAlignment="1">
      <alignment horizontal="center" vertical="center" wrapText="1"/>
    </xf>
    <xf numFmtId="0" fontId="0" fillId="0" borderId="0" xfId="0" applyAlignment="1">
      <alignment wrapText="1"/>
    </xf>
    <xf numFmtId="0" fontId="7" fillId="0" borderId="0" xfId="0" applyNumberFormat="1" applyFont="1" applyAlignment="1"/>
    <xf numFmtId="0" fontId="0" fillId="0" borderId="7" xfId="0" applyFont="1" applyBorder="1" applyAlignment="1"/>
    <xf numFmtId="0" fontId="0" fillId="4" borderId="7" xfId="0" applyFont="1" applyFill="1" applyBorder="1" applyAlignment="1"/>
    <xf numFmtId="0" fontId="8" fillId="0" borderId="0" xfId="0" applyNumberFormat="1" applyFont="1" applyFill="1" applyBorder="1" applyAlignment="1" applyProtection="1"/>
    <xf numFmtId="49" fontId="9" fillId="5" borderId="8" xfId="0" applyNumberFormat="1" applyFont="1" applyFill="1" applyBorder="1" applyAlignment="1" applyProtection="1">
      <alignment horizontal="center" vertical="center" wrapText="1"/>
    </xf>
    <xf numFmtId="49" fontId="9" fillId="5" borderId="9" xfId="0" applyNumberFormat="1" applyFont="1" applyFill="1" applyBorder="1" applyAlignment="1" applyProtection="1">
      <alignment horizontal="center" vertical="center" wrapText="1"/>
    </xf>
    <xf numFmtId="49" fontId="9" fillId="5" borderId="10" xfId="0" applyNumberFormat="1" applyFont="1" applyFill="1" applyBorder="1" applyAlignment="1" applyProtection="1">
      <alignment horizontal="center" vertical="center" wrapText="1"/>
    </xf>
    <xf numFmtId="49" fontId="9" fillId="5" borderId="11" xfId="0" applyNumberFormat="1" applyFont="1" applyFill="1" applyBorder="1" applyAlignment="1" applyProtection="1">
      <alignment horizontal="center" vertical="center" wrapText="1"/>
    </xf>
    <xf numFmtId="49" fontId="9" fillId="5" borderId="12" xfId="0" applyNumberFormat="1" applyFont="1" applyFill="1" applyBorder="1" applyAlignment="1" applyProtection="1">
      <alignment horizontal="center" vertical="center" wrapText="1"/>
    </xf>
    <xf numFmtId="0" fontId="9" fillId="5" borderId="13" xfId="0" applyNumberFormat="1" applyFont="1" applyFill="1" applyBorder="1" applyAlignment="1" applyProtection="1">
      <alignment horizontal="center" vertical="center" wrapText="1"/>
    </xf>
    <xf numFmtId="0" fontId="9" fillId="5" borderId="14" xfId="0" applyNumberFormat="1" applyFont="1" applyFill="1" applyBorder="1" applyAlignment="1" applyProtection="1">
      <alignment horizontal="center" vertical="center" wrapText="1"/>
    </xf>
    <xf numFmtId="181" fontId="9" fillId="5" borderId="14" xfId="0" applyNumberFormat="1" applyFont="1" applyFill="1" applyBorder="1" applyAlignment="1" applyProtection="1">
      <alignment horizontal="center" vertical="center" wrapText="1"/>
    </xf>
    <xf numFmtId="0" fontId="9" fillId="6" borderId="1" xfId="0" applyNumberFormat="1" applyFont="1" applyFill="1" applyBorder="1" applyAlignment="1" applyProtection="1">
      <alignment horizontal="center" vertical="center" wrapText="1"/>
    </xf>
    <xf numFmtId="0" fontId="8" fillId="0" borderId="0" xfId="0" applyNumberFormat="1" applyFont="1" applyFill="1" applyBorder="1" applyAlignment="1" applyProtection="1">
      <alignment horizontal="left" indent="1"/>
    </xf>
    <xf numFmtId="0" fontId="8" fillId="0" borderId="0" xfId="0" applyNumberFormat="1" applyFont="1" applyFill="1" applyBorder="1" applyAlignment="1" applyProtection="1">
      <alignment horizontal="right"/>
    </xf>
    <xf numFmtId="49" fontId="9" fillId="5" borderId="1" xfId="0" applyNumberFormat="1" applyFont="1" applyFill="1" applyBorder="1" applyAlignment="1" applyProtection="1">
      <alignment horizontal="center" vertical="center" wrapText="1"/>
    </xf>
    <xf numFmtId="0" fontId="8" fillId="0" borderId="0" xfId="0" applyNumberFormat="1" applyFont="1" applyFill="1" applyBorder="1" applyAlignment="1" applyProtection="1">
      <alignment horizontal="left" indent="2"/>
    </xf>
    <xf numFmtId="0" fontId="0" fillId="0" borderId="0" xfId="0" applyNumberFormat="1" applyFont="1" applyFill="1" applyBorder="1" applyAlignment="1" applyProtection="1"/>
    <xf numFmtId="0" fontId="10" fillId="0" borderId="0" xfId="0" applyNumberFormat="1" applyFont="1" applyFill="1" applyBorder="1" applyAlignment="1" applyProtection="1"/>
    <xf numFmtId="0" fontId="11" fillId="7" borderId="15" xfId="0" applyNumberFormat="1" applyFont="1" applyFill="1" applyBorder="1" applyAlignment="1" applyProtection="1">
      <alignment horizontal="center" vertical="center" textRotation="90" wrapText="1"/>
    </xf>
    <xf numFmtId="0" fontId="11" fillId="7" borderId="16" xfId="0" applyNumberFormat="1" applyFont="1" applyFill="1" applyBorder="1" applyAlignment="1" applyProtection="1">
      <alignment horizontal="center" vertical="center" wrapText="1"/>
    </xf>
    <xf numFmtId="0" fontId="12" fillId="0" borderId="15" xfId="0" applyNumberFormat="1" applyFont="1" applyFill="1" applyBorder="1" applyAlignment="1" applyProtection="1">
      <alignment horizontal="center" vertical="center" wrapText="1"/>
    </xf>
    <xf numFmtId="0" fontId="12" fillId="0" borderId="15" xfId="0" applyNumberFormat="1" applyFont="1" applyFill="1" applyBorder="1" applyAlignment="1" applyProtection="1"/>
    <xf numFmtId="0" fontId="12" fillId="0" borderId="17" xfId="0" applyNumberFormat="1" applyFont="1" applyFill="1" applyBorder="1" applyAlignment="1" applyProtection="1">
      <alignment horizontal="left" vertical="center"/>
    </xf>
    <xf numFmtId="0" fontId="12" fillId="0" borderId="15" xfId="0" applyNumberFormat="1" applyFont="1" applyFill="1" applyBorder="1" applyAlignment="1" applyProtection="1">
      <alignment vertical="top" wrapText="1"/>
    </xf>
    <xf numFmtId="182" fontId="12" fillId="0" borderId="15" xfId="0" applyNumberFormat="1" applyFont="1" applyFill="1" applyBorder="1" applyAlignment="1" applyProtection="1">
      <alignment vertical="top" wrapText="1"/>
    </xf>
    <xf numFmtId="0" fontId="12" fillId="0" borderId="15" xfId="0" applyNumberFormat="1" applyFont="1" applyFill="1" applyBorder="1" applyAlignment="1" applyProtection="1">
      <alignment horizontal="left" vertical="center"/>
    </xf>
    <xf numFmtId="0" fontId="12" fillId="0" borderId="15" xfId="0" applyNumberFormat="1" applyFont="1" applyFill="1" applyBorder="1" applyAlignment="1" applyProtection="1">
      <alignment vertical="center" wrapText="1"/>
    </xf>
    <xf numFmtId="0" fontId="13" fillId="0" borderId="15" xfId="0" applyNumberFormat="1" applyFont="1" applyFill="1" applyBorder="1" applyAlignment="1" applyProtection="1">
      <alignment horizontal="center" vertical="center" wrapText="1"/>
    </xf>
    <xf numFmtId="0" fontId="10" fillId="0" borderId="15" xfId="0" applyNumberFormat="1" applyFont="1" applyFill="1" applyBorder="1" applyAlignment="1" applyProtection="1"/>
    <xf numFmtId="0" fontId="14" fillId="0" borderId="15" xfId="0" applyNumberFormat="1" applyFont="1" applyFill="1" applyBorder="1" applyAlignment="1" applyProtection="1">
      <alignment vertical="center" wrapText="1"/>
    </xf>
    <xf numFmtId="0" fontId="14" fillId="0" borderId="15" xfId="0" applyNumberFormat="1" applyFont="1" applyFill="1" applyBorder="1" applyAlignment="1" applyProtection="1">
      <alignment horizontal="center" vertical="center" wrapText="1"/>
    </xf>
    <xf numFmtId="0" fontId="10" fillId="0" borderId="15" xfId="0" applyNumberFormat="1" applyFont="1" applyFill="1" applyBorder="1" applyAlignment="1" applyProtection="1">
      <alignment vertical="center" wrapText="1"/>
    </xf>
    <xf numFmtId="0" fontId="15" fillId="0" borderId="0" xfId="0" applyFont="1" applyAlignment="1">
      <alignment horizontal="left" wrapText="1"/>
    </xf>
    <xf numFmtId="0" fontId="16" fillId="0" borderId="0" xfId="0" applyFont="1" applyAlignment="1">
      <alignment horizontal="left"/>
    </xf>
    <xf numFmtId="0" fontId="15" fillId="8" borderId="0" xfId="0" applyFont="1" applyFill="1" applyAlignment="1">
      <alignment horizontal="left"/>
    </xf>
    <xf numFmtId="0" fontId="15" fillId="9" borderId="0" xfId="0" applyFont="1" applyFill="1" applyAlignment="1">
      <alignment horizontal="left"/>
    </xf>
    <xf numFmtId="0" fontId="17" fillId="9" borderId="0" xfId="0" applyFont="1" applyFill="1" applyAlignment="1">
      <alignment horizontal="left"/>
    </xf>
    <xf numFmtId="0" fontId="18" fillId="9" borderId="0" xfId="0" applyFont="1" applyFill="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9900"/>
      <rgbColor rgb="00AAAAAA"/>
      <rgbColor rgb="00FFFFFF"/>
      <rgbColor rgb="00FFC000"/>
      <rgbColor rgb="00969696"/>
      <rgbColor rgb="0092D050"/>
      <rgbColor rgb="001FB714"/>
      <rgbColor rgb="0033CCCC"/>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FFC000"/>
      <color rgb="00FF9900"/>
      <color rgb="005E88B1"/>
      <color rgb="0033CCCC"/>
      <color rgb="00EEF3F4"/>
      <color rgb="0092D050"/>
      <color rgb="00969696"/>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D16"/>
  <sheetViews>
    <sheetView showGridLines="0" zoomScaleSheetLayoutView="60" workbookViewId="0">
      <selection activeCell="C22" sqref="C22"/>
    </sheetView>
  </sheetViews>
  <sheetFormatPr defaultColWidth="10" defaultRowHeight="12.95" customHeight="1" outlineLevelCol="3"/>
  <cols>
    <col min="1" max="1" width="2" customWidth="1"/>
    <col min="2" max="4" width="33.5740740740741" customWidth="1"/>
  </cols>
  <sheetData>
    <row r="3" ht="50.1" customHeight="1" spans="2:2">
      <c r="B3" s="53" t="s">
        <v>0</v>
      </c>
    </row>
    <row r="7" ht="17.4" spans="2:4">
      <c r="B7" s="54" t="s">
        <v>1</v>
      </c>
      <c r="C7" s="54" t="s">
        <v>2</v>
      </c>
      <c r="D7" s="54" t="s">
        <v>3</v>
      </c>
    </row>
    <row r="9" ht="15" spans="2:4">
      <c r="B9" s="55" t="s">
        <v>4</v>
      </c>
      <c r="C9" s="55"/>
      <c r="D9" s="55"/>
    </row>
    <row r="10" ht="15" spans="2:4">
      <c r="B10" s="56"/>
      <c r="C10" s="56" t="s">
        <v>5</v>
      </c>
      <c r="D10" s="57" t="s">
        <v>4</v>
      </c>
    </row>
    <row r="11" ht="15" spans="2:4">
      <c r="B11" s="55" t="s">
        <v>6</v>
      </c>
      <c r="C11" s="55"/>
      <c r="D11" s="55"/>
    </row>
    <row r="12" ht="15" spans="2:4">
      <c r="B12" s="56"/>
      <c r="C12" s="56" t="s">
        <v>5</v>
      </c>
      <c r="D12" s="57" t="s">
        <v>6</v>
      </c>
    </row>
    <row r="13" ht="15" spans="2:4">
      <c r="B13" s="55" t="s">
        <v>7</v>
      </c>
      <c r="C13" s="55"/>
      <c r="D13" s="55"/>
    </row>
    <row r="14" ht="15" spans="2:4">
      <c r="B14" s="56"/>
      <c r="C14" s="56" t="s">
        <v>5</v>
      </c>
      <c r="D14" s="58" t="s">
        <v>7</v>
      </c>
    </row>
    <row r="15" ht="15" spans="2:4">
      <c r="B15" s="55" t="s">
        <v>8</v>
      </c>
      <c r="C15" s="55"/>
      <c r="D15" s="55"/>
    </row>
    <row r="16" ht="15" spans="2:4">
      <c r="B16" s="56"/>
      <c r="C16" s="56" t="s">
        <v>5</v>
      </c>
      <c r="D16" s="57" t="s">
        <v>8</v>
      </c>
    </row>
  </sheetData>
  <mergeCells count="1">
    <mergeCell ref="B3:D3"/>
  </mergeCells>
  <hyperlinks>
    <hyperlink ref="D10" location="'Product Backlog'!R1C1" display="Product Backlog"/>
    <hyperlink ref="D12" location="'Sprint Backlog'!R1C1" display="Sprint Backlog"/>
    <hyperlink ref="D14" location="'Stand up Meeting'!R1C1" display="Stand up Meeting"/>
    <hyperlink ref="D16" location="'Retrospection'!R1C1" display="Retrospectio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showGridLines="0" zoomScale="84" zoomScaleNormal="84" zoomScaleSheetLayoutView="60" workbookViewId="0">
      <selection activeCell="J4" sqref="J4"/>
    </sheetView>
  </sheetViews>
  <sheetFormatPr defaultColWidth="8.88888888888889" defaultRowHeight="13.2" outlineLevelCol="7"/>
  <cols>
    <col min="1" max="1" width="21.4722222222222" style="38" customWidth="1"/>
    <col min="2" max="2" width="19.8703703703704" style="38" customWidth="1"/>
    <col min="3" max="3" width="20.3611111111111" style="38" customWidth="1"/>
    <col min="4" max="4" width="59.6203703703704" style="38" customWidth="1"/>
    <col min="5" max="5" width="25" style="38" customWidth="1"/>
    <col min="6" max="6" width="21.9722222222222" style="38" customWidth="1"/>
    <col min="7" max="7" width="20.8611111111111" style="38" customWidth="1"/>
    <col min="8" max="8" width="20.1111111111111" style="38" customWidth="1"/>
    <col min="9" max="16384" width="8.88888888888889" style="38"/>
  </cols>
  <sheetData>
    <row r="1" s="38" customFormat="1" ht="75.75" customHeight="1" spans="1:8">
      <c r="A1" s="39" t="s">
        <v>9</v>
      </c>
      <c r="B1" s="39" t="s">
        <v>10</v>
      </c>
      <c r="C1" s="40" t="s">
        <v>11</v>
      </c>
      <c r="D1" s="40" t="s">
        <v>12</v>
      </c>
      <c r="E1" s="40" t="s">
        <v>13</v>
      </c>
      <c r="F1" s="40" t="s">
        <v>14</v>
      </c>
      <c r="G1" s="40" t="s">
        <v>15</v>
      </c>
      <c r="H1" s="40" t="s">
        <v>16</v>
      </c>
    </row>
    <row r="2" s="38" customFormat="1" ht="37.5" customHeight="1" spans="1:8">
      <c r="A2" s="41"/>
      <c r="B2" s="41"/>
      <c r="C2" s="42"/>
      <c r="D2" s="43"/>
      <c r="E2" s="41"/>
      <c r="F2" s="41"/>
      <c r="G2" s="41"/>
      <c r="H2" s="41"/>
    </row>
    <row r="3" s="38" customFormat="1" ht="77" customHeight="1" spans="1:8">
      <c r="A3" s="44" t="s">
        <v>17</v>
      </c>
      <c r="B3" s="45">
        <v>45918</v>
      </c>
      <c r="C3" s="44" t="s">
        <v>18</v>
      </c>
      <c r="D3" s="44" t="s">
        <v>19</v>
      </c>
      <c r="E3" s="44" t="s">
        <v>20</v>
      </c>
      <c r="F3" s="44" t="s">
        <v>21</v>
      </c>
      <c r="G3" s="44" t="s">
        <v>22</v>
      </c>
      <c r="H3" s="44" t="s">
        <v>23</v>
      </c>
    </row>
    <row r="4" s="38" customFormat="1" ht="72" customHeight="1" spans="1:8">
      <c r="A4" s="45">
        <v>45932</v>
      </c>
      <c r="B4" s="45">
        <v>45932</v>
      </c>
      <c r="C4" s="44" t="s">
        <v>24</v>
      </c>
      <c r="D4" s="44" t="s">
        <v>25</v>
      </c>
      <c r="E4" s="44" t="s">
        <v>20</v>
      </c>
      <c r="F4" s="44" t="s">
        <v>26</v>
      </c>
      <c r="G4" s="44" t="s">
        <v>22</v>
      </c>
      <c r="H4" s="44" t="s">
        <v>23</v>
      </c>
    </row>
    <row r="5" s="38" customFormat="1" ht="81" customHeight="1" spans="1:8">
      <c r="A5" s="45">
        <v>45946</v>
      </c>
      <c r="B5" s="45">
        <v>45946</v>
      </c>
      <c r="C5" s="44" t="s">
        <v>27</v>
      </c>
      <c r="D5" s="44" t="s">
        <v>28</v>
      </c>
      <c r="E5" s="44" t="s">
        <v>20</v>
      </c>
      <c r="F5" s="44" t="s">
        <v>29</v>
      </c>
      <c r="G5" s="44" t="s">
        <v>22</v>
      </c>
      <c r="H5" s="44" t="s">
        <v>23</v>
      </c>
    </row>
    <row r="6" s="38" customFormat="1" ht="78" customHeight="1" spans="1:8">
      <c r="A6" s="45">
        <v>45960</v>
      </c>
      <c r="B6" s="45">
        <v>45960</v>
      </c>
      <c r="C6" s="44" t="s">
        <v>30</v>
      </c>
      <c r="D6" s="44" t="s">
        <v>31</v>
      </c>
      <c r="E6" s="44" t="s">
        <v>20</v>
      </c>
      <c r="F6" s="44" t="s">
        <v>32</v>
      </c>
      <c r="G6" s="44" t="s">
        <v>22</v>
      </c>
      <c r="H6" s="44" t="s">
        <v>23</v>
      </c>
    </row>
    <row r="7" s="38" customFormat="1" ht="13.8" customHeight="1" spans="1:8">
      <c r="A7" s="41"/>
      <c r="B7" s="41"/>
      <c r="C7" s="42"/>
      <c r="D7" s="46"/>
      <c r="E7" s="41"/>
      <c r="F7" s="41"/>
      <c r="G7" s="41"/>
      <c r="H7" s="41"/>
    </row>
    <row r="8" s="38" customFormat="1" ht="13.8" customHeight="1" spans="1:8">
      <c r="A8" s="41"/>
      <c r="B8" s="41"/>
      <c r="C8" s="42"/>
      <c r="D8" s="46"/>
      <c r="E8" s="41"/>
      <c r="F8" s="41"/>
      <c r="G8" s="41"/>
      <c r="H8" s="41"/>
    </row>
    <row r="9" s="38" customFormat="1" ht="13.8" customHeight="1" spans="1:8">
      <c r="A9" s="41"/>
      <c r="B9" s="41"/>
      <c r="C9" s="42"/>
      <c r="D9" s="46"/>
      <c r="E9" s="41"/>
      <c r="F9" s="41"/>
      <c r="G9" s="41"/>
      <c r="H9" s="41"/>
    </row>
    <row r="10" s="38" customFormat="1" ht="13.8" customHeight="1" spans="1:8">
      <c r="A10" s="41"/>
      <c r="B10" s="41"/>
      <c r="C10" s="42"/>
      <c r="D10" s="46"/>
      <c r="E10" s="41"/>
      <c r="F10" s="41"/>
      <c r="G10" s="41"/>
      <c r="H10" s="41"/>
    </row>
    <row r="11" s="38" customFormat="1" ht="13.8" customHeight="1" spans="1:8">
      <c r="A11" s="41"/>
      <c r="B11" s="41"/>
      <c r="C11" s="42"/>
      <c r="D11" s="46"/>
      <c r="E11" s="41"/>
      <c r="F11" s="41"/>
      <c r="G11" s="41"/>
      <c r="H11" s="41"/>
    </row>
    <row r="12" s="38" customFormat="1" ht="13.8" customHeight="1" spans="1:8">
      <c r="A12" s="41"/>
      <c r="B12" s="41"/>
      <c r="C12" s="42"/>
      <c r="D12" s="46"/>
      <c r="E12" s="41"/>
      <c r="F12" s="41"/>
      <c r="G12" s="41"/>
      <c r="H12" s="41"/>
    </row>
    <row r="13" s="38" customFormat="1" ht="13.8" customHeight="1" spans="1:8">
      <c r="A13" s="41"/>
      <c r="B13" s="41"/>
      <c r="C13" s="42"/>
      <c r="D13" s="46"/>
      <c r="E13" s="41"/>
      <c r="F13" s="41"/>
      <c r="G13" s="41"/>
      <c r="H13" s="41"/>
    </row>
    <row r="14" s="38" customFormat="1" ht="13.8" customHeight="1" spans="1:8">
      <c r="A14" s="41"/>
      <c r="B14" s="41"/>
      <c r="C14" s="42"/>
      <c r="D14" s="46"/>
      <c r="E14" s="41"/>
      <c r="F14" s="41"/>
      <c r="G14" s="41"/>
      <c r="H14" s="41"/>
    </row>
    <row r="15" s="38" customFormat="1" ht="13.8" customHeight="1" spans="1:8">
      <c r="A15" s="41"/>
      <c r="B15" s="41"/>
      <c r="C15" s="42"/>
      <c r="D15" s="47"/>
      <c r="E15" s="41"/>
      <c r="F15" s="41"/>
      <c r="G15" s="41"/>
      <c r="H15" s="41"/>
    </row>
    <row r="16" s="38" customFormat="1" ht="13.8" customHeight="1" spans="1:8">
      <c r="A16" s="41"/>
      <c r="B16" s="41"/>
      <c r="C16" s="42"/>
      <c r="D16" s="47"/>
      <c r="E16" s="41"/>
      <c r="F16" s="41"/>
      <c r="G16" s="41"/>
      <c r="H16" s="41"/>
    </row>
    <row r="17" s="38" customFormat="1" spans="1:8">
      <c r="A17" s="48"/>
      <c r="B17" s="48"/>
      <c r="C17" s="49"/>
      <c r="D17" s="50"/>
      <c r="E17" s="51"/>
      <c r="F17" s="51"/>
      <c r="G17" s="51"/>
      <c r="H17" s="51"/>
    </row>
    <row r="18" s="38" customFormat="1" spans="1:8">
      <c r="A18" s="48"/>
      <c r="B18" s="48"/>
      <c r="C18" s="49"/>
      <c r="D18" s="52"/>
      <c r="E18" s="51"/>
      <c r="F18" s="51"/>
      <c r="G18" s="51"/>
      <c r="H18" s="51"/>
    </row>
    <row r="19" s="38" customFormat="1" spans="1:8">
      <c r="A19" s="48"/>
      <c r="B19" s="48"/>
      <c r="C19" s="49"/>
      <c r="D19" s="50"/>
      <c r="E19" s="51"/>
      <c r="F19" s="51"/>
      <c r="G19" s="51"/>
      <c r="H19" s="51"/>
    </row>
    <row r="20" s="38" customFormat="1" spans="1:8">
      <c r="A20" s="48"/>
      <c r="B20" s="48"/>
      <c r="C20" s="49"/>
      <c r="D20" s="50"/>
      <c r="E20" s="51"/>
      <c r="F20" s="51"/>
      <c r="G20" s="51"/>
      <c r="H20" s="51"/>
    </row>
    <row r="21" s="38" customFormat="1" spans="1:8">
      <c r="A21" s="48"/>
      <c r="B21" s="48"/>
      <c r="C21" s="49"/>
      <c r="D21" s="50"/>
      <c r="E21" s="51"/>
      <c r="F21" s="51"/>
      <c r="G21" s="51"/>
      <c r="H21" s="51"/>
    </row>
    <row r="22" s="38" customFormat="1" spans="1:8">
      <c r="A22" s="48"/>
      <c r="B22" s="48"/>
      <c r="C22" s="49"/>
      <c r="D22" s="52"/>
      <c r="E22" s="51"/>
      <c r="F22" s="51"/>
      <c r="G22" s="51"/>
      <c r="H22" s="51"/>
    </row>
    <row r="23" s="38" customFormat="1" spans="1:8">
      <c r="A23" s="48"/>
      <c r="B23" s="48"/>
      <c r="C23" s="49"/>
      <c r="D23" s="50"/>
      <c r="E23" s="51"/>
      <c r="F23" s="51"/>
      <c r="G23" s="51"/>
      <c r="H23" s="51"/>
    </row>
    <row r="24" s="38" customFormat="1" spans="1:8">
      <c r="A24" s="48"/>
      <c r="B24" s="48"/>
      <c r="C24" s="49"/>
      <c r="D24" s="50"/>
      <c r="E24" s="51"/>
      <c r="F24" s="51"/>
      <c r="G24" s="51"/>
      <c r="H24" s="51"/>
    </row>
    <row r="25" s="38" customFormat="1" spans="1:8">
      <c r="A25" s="48"/>
      <c r="B25" s="48"/>
      <c r="C25" s="49"/>
      <c r="D25" s="50"/>
      <c r="E25" s="51"/>
      <c r="F25" s="51"/>
      <c r="G25" s="51"/>
      <c r="H25" s="51"/>
    </row>
    <row r="26" s="38" customFormat="1" spans="1:8">
      <c r="A26" s="48"/>
      <c r="B26" s="48"/>
      <c r="C26" s="49"/>
      <c r="D26" s="52"/>
      <c r="E26" s="51"/>
      <c r="F26" s="51"/>
      <c r="G26" s="51"/>
      <c r="H26" s="51"/>
    </row>
    <row r="27" s="38" customFormat="1" spans="1:8">
      <c r="A27" s="48"/>
      <c r="B27" s="48"/>
      <c r="C27" s="49"/>
      <c r="D27" s="50"/>
      <c r="E27" s="51"/>
      <c r="F27" s="51"/>
      <c r="G27" s="51"/>
      <c r="H27" s="51"/>
    </row>
    <row r="28" s="38" customFormat="1" spans="1:8">
      <c r="A28" s="48"/>
      <c r="B28" s="48"/>
      <c r="C28" s="49"/>
      <c r="D28" s="50"/>
      <c r="E28" s="51"/>
      <c r="F28" s="51"/>
      <c r="G28" s="51"/>
      <c r="H28" s="51"/>
    </row>
    <row r="29" s="38" customFormat="1" spans="1:8">
      <c r="A29" s="48"/>
      <c r="B29" s="48"/>
      <c r="C29" s="49"/>
      <c r="D29" s="50"/>
      <c r="E29" s="51"/>
      <c r="F29" s="51"/>
      <c r="G29" s="51"/>
      <c r="H29" s="51"/>
    </row>
    <row r="30" s="38" customFormat="1" spans="1:8">
      <c r="A30" s="48"/>
      <c r="B30" s="48"/>
      <c r="C30" s="49"/>
      <c r="D30" s="52"/>
      <c r="E30" s="51"/>
      <c r="F30" s="51"/>
      <c r="G30" s="51"/>
      <c r="H30" s="51"/>
    </row>
    <row r="31" s="38" customFormat="1" spans="1:8">
      <c r="A31" s="48"/>
      <c r="B31" s="48"/>
      <c r="C31" s="49"/>
      <c r="D31" s="50"/>
      <c r="E31" s="51"/>
      <c r="F31" s="51"/>
      <c r="G31" s="51"/>
      <c r="H31" s="51"/>
    </row>
    <row r="32" s="38" customFormat="1" spans="1:8">
      <c r="A32" s="48"/>
      <c r="B32" s="48"/>
      <c r="C32" s="49"/>
      <c r="D32" s="50"/>
      <c r="E32" s="51"/>
      <c r="F32" s="51"/>
      <c r="G32" s="51"/>
      <c r="H32" s="51"/>
    </row>
    <row r="33" s="38" customFormat="1" spans="1:8">
      <c r="A33" s="48"/>
      <c r="B33" s="48"/>
      <c r="C33" s="49"/>
      <c r="D33" s="50"/>
      <c r="E33" s="51"/>
      <c r="F33" s="51"/>
      <c r="G33" s="51"/>
      <c r="H33" s="51"/>
    </row>
    <row r="34" s="38" customFormat="1" spans="1:8">
      <c r="A34" s="48"/>
      <c r="B34" s="48"/>
      <c r="C34" s="49"/>
      <c r="D34" s="52"/>
      <c r="E34" s="51"/>
      <c r="F34" s="51"/>
      <c r="G34" s="51"/>
      <c r="H34" s="51"/>
    </row>
    <row r="35" s="38" customFormat="1" spans="1:8">
      <c r="A35" s="48"/>
      <c r="B35" s="48"/>
      <c r="C35" s="49"/>
      <c r="D35" s="50"/>
      <c r="E35" s="51"/>
      <c r="F35" s="51"/>
      <c r="G35" s="51"/>
      <c r="H35" s="51"/>
    </row>
    <row r="36" s="38" customFormat="1" spans="1:8">
      <c r="A36" s="48"/>
      <c r="B36" s="48"/>
      <c r="C36" s="49"/>
      <c r="D36" s="50"/>
      <c r="E36" s="51"/>
      <c r="F36" s="51"/>
      <c r="G36" s="51"/>
      <c r="H36" s="51"/>
    </row>
    <row r="37" s="38" customFormat="1" spans="1:8">
      <c r="A37" s="48"/>
      <c r="B37" s="48"/>
      <c r="C37" s="49"/>
      <c r="D37" s="50"/>
      <c r="E37" s="51"/>
      <c r="F37" s="51"/>
      <c r="G37" s="51"/>
      <c r="H37" s="51"/>
    </row>
    <row r="38" s="38" customFormat="1" spans="1:8">
      <c r="A38" s="48"/>
      <c r="B38" s="48"/>
      <c r="C38" s="49"/>
      <c r="D38" s="52"/>
      <c r="E38" s="51"/>
      <c r="F38" s="51"/>
      <c r="G38" s="51"/>
      <c r="H38" s="51"/>
    </row>
    <row r="39" s="38" customFormat="1" spans="1:8">
      <c r="A39" s="48"/>
      <c r="B39" s="48"/>
      <c r="C39" s="49"/>
      <c r="D39" s="50"/>
      <c r="E39" s="51"/>
      <c r="F39" s="51"/>
      <c r="G39" s="51"/>
      <c r="H39" s="51"/>
    </row>
    <row r="40" s="38" customFormat="1" spans="1:8">
      <c r="A40" s="48"/>
      <c r="B40" s="48"/>
      <c r="C40" s="49"/>
      <c r="D40" s="50"/>
      <c r="E40" s="51"/>
      <c r="F40" s="51"/>
      <c r="G40" s="51"/>
      <c r="H40" s="51"/>
    </row>
    <row r="41" s="38" customFormat="1" spans="1:8">
      <c r="A41" s="48"/>
      <c r="B41" s="48"/>
      <c r="C41" s="49"/>
      <c r="D41" s="50"/>
      <c r="E41" s="51"/>
      <c r="F41" s="51"/>
      <c r="G41" s="51"/>
      <c r="H41" s="51"/>
    </row>
    <row r="42" s="38" customFormat="1" spans="1:8">
      <c r="A42" s="48"/>
      <c r="B42" s="48"/>
      <c r="C42" s="49"/>
      <c r="D42" s="52"/>
      <c r="E42" s="51"/>
      <c r="F42" s="51"/>
      <c r="G42" s="51"/>
      <c r="H42" s="51"/>
    </row>
    <row r="43" s="38" customFormat="1" spans="1:8">
      <c r="A43" s="48"/>
      <c r="B43" s="48"/>
      <c r="C43" s="49"/>
      <c r="D43" s="52"/>
      <c r="E43" s="51"/>
      <c r="F43" s="51"/>
      <c r="G43" s="51"/>
      <c r="H43" s="51"/>
    </row>
    <row r="44" s="38" customFormat="1" spans="1:8">
      <c r="A44" s="48"/>
      <c r="B44" s="48"/>
      <c r="C44" s="49"/>
      <c r="D44" s="50"/>
      <c r="E44" s="51"/>
      <c r="F44" s="51"/>
      <c r="G44" s="51"/>
      <c r="H44" s="51"/>
    </row>
    <row r="45" s="38" customFormat="1" spans="1:8">
      <c r="A45" s="48"/>
      <c r="B45" s="48"/>
      <c r="C45" s="49"/>
      <c r="D45" s="50"/>
      <c r="E45" s="51"/>
      <c r="F45" s="51"/>
      <c r="G45" s="51"/>
      <c r="H45" s="51"/>
    </row>
    <row r="46" s="38" customFormat="1" spans="1:8">
      <c r="A46" s="48"/>
      <c r="B46" s="48"/>
      <c r="C46" s="49"/>
      <c r="D46" s="50"/>
      <c r="E46" s="51"/>
      <c r="F46" s="51"/>
      <c r="G46" s="51"/>
      <c r="H46" s="51"/>
    </row>
    <row r="47" s="38" customFormat="1" spans="1:8">
      <c r="A47" s="48"/>
      <c r="B47" s="48"/>
      <c r="C47" s="49"/>
      <c r="D47" s="52"/>
      <c r="E47" s="51"/>
      <c r="F47" s="51"/>
      <c r="G47" s="51"/>
      <c r="H47" s="51"/>
    </row>
    <row r="48" s="38" customFormat="1" spans="1:8">
      <c r="A48" s="48"/>
      <c r="B48" s="48"/>
      <c r="C48" s="49"/>
      <c r="D48" s="52"/>
      <c r="E48" s="51"/>
      <c r="F48" s="51"/>
      <c r="G48" s="51"/>
      <c r="H48" s="51"/>
    </row>
    <row r="49" s="38" customFormat="1" spans="1:8">
      <c r="A49" s="48"/>
      <c r="B49" s="48"/>
      <c r="C49" s="49"/>
      <c r="D49" s="50"/>
      <c r="E49" s="51"/>
      <c r="F49" s="51"/>
      <c r="G49" s="51"/>
      <c r="H49" s="51"/>
    </row>
    <row r="50" s="38" customFormat="1" spans="1:8">
      <c r="A50" s="48"/>
      <c r="B50" s="48"/>
      <c r="C50" s="49"/>
      <c r="D50" s="50"/>
      <c r="E50" s="51"/>
      <c r="F50" s="51"/>
      <c r="G50" s="51"/>
      <c r="H50" s="51"/>
    </row>
  </sheetData>
  <dataValidations count="2">
    <dataValidation type="list" allowBlank="1" showInputMessage="1" showErrorMessage="1" sqref="E2:E50">
      <formula1>"MUST HAVE, SHOULD HAVE, COULD HAVE, WON'T HAVE"</formula1>
    </dataValidation>
    <dataValidation type="list" allowBlank="1" showInputMessage="1" showErrorMessage="1" sqref="H2:H50">
      <formula1>"1- Not Started, 2- In Progress, 3- Completed"</formula1>
    </dataValidation>
  </dataValidations>
  <pageMargins left="0.7" right="0.7" top="0.75" bottom="0.75" header="0.3" footer="0.3"/>
  <pageSetup paperSize="1" orientation="portrait" horizontalDpi="600" verticalDpi="600"/>
  <headerFooter>
    <oddFooter>&amp;C&amp;"Helvetica Neue,Regular"&amp;12&amp;K000000&amp;P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
  <sheetViews>
    <sheetView showGridLines="0" tabSelected="1" zoomScaleSheetLayoutView="60" topLeftCell="C1" workbookViewId="0">
      <selection activeCell="F22" sqref="F22"/>
    </sheetView>
  </sheetViews>
  <sheetFormatPr defaultColWidth="9" defaultRowHeight="13.8"/>
  <cols>
    <col min="1" max="1" width="9" style="23"/>
    <col min="2" max="2" width="6.11111111111111" style="23" customWidth="1"/>
    <col min="3" max="3" width="57.2222222222222" style="23" customWidth="1"/>
    <col min="4" max="4" width="16.3333333333333" style="23" customWidth="1"/>
    <col min="5" max="5" width="13.7777777777778" style="23" customWidth="1"/>
    <col min="6" max="6" width="27" style="23" customWidth="1"/>
    <col min="7" max="7" width="9" style="23"/>
    <col min="8" max="8" width="10.1111111111111" style="23" customWidth="1"/>
    <col min="9" max="16384" width="9" style="23"/>
  </cols>
  <sheetData>
    <row r="1" s="23" customFormat="1" ht="40.8" spans="1:23">
      <c r="A1" s="24" t="s">
        <v>11</v>
      </c>
      <c r="B1" s="25" t="s">
        <v>33</v>
      </c>
      <c r="C1" s="26" t="s">
        <v>34</v>
      </c>
      <c r="D1" s="26" t="s">
        <v>35</v>
      </c>
      <c r="E1" s="26" t="s">
        <v>36</v>
      </c>
      <c r="F1" s="26" t="s">
        <v>37</v>
      </c>
      <c r="G1" s="26" t="s">
        <v>16</v>
      </c>
      <c r="H1" s="27" t="s">
        <v>38</v>
      </c>
      <c r="I1" s="35" t="s">
        <v>39</v>
      </c>
      <c r="J1" s="35" t="s">
        <v>40</v>
      </c>
      <c r="K1" s="35" t="s">
        <v>41</v>
      </c>
      <c r="L1" s="35" t="s">
        <v>42</v>
      </c>
      <c r="M1" s="35" t="s">
        <v>43</v>
      </c>
      <c r="N1" s="35" t="s">
        <v>44</v>
      </c>
      <c r="O1" s="35" t="s">
        <v>45</v>
      </c>
      <c r="P1" s="35" t="s">
        <v>46</v>
      </c>
      <c r="Q1" s="35" t="s">
        <v>47</v>
      </c>
      <c r="R1" s="35" t="s">
        <v>48</v>
      </c>
      <c r="S1" s="35" t="s">
        <v>49</v>
      </c>
      <c r="T1" s="35" t="s">
        <v>50</v>
      </c>
      <c r="U1" s="35" t="s">
        <v>51</v>
      </c>
      <c r="V1" s="35" t="s">
        <v>52</v>
      </c>
      <c r="W1" s="37"/>
    </row>
    <row r="2" s="23" customFormat="1" spans="1:23">
      <c r="A2" s="28"/>
      <c r="B2" s="29"/>
      <c r="C2" s="30"/>
      <c r="D2" s="30"/>
      <c r="E2" s="31"/>
      <c r="F2" s="30"/>
      <c r="G2" s="30"/>
      <c r="H2" s="32">
        <f>SUM(H3:H778)</f>
        <v>112</v>
      </c>
      <c r="I2" s="32">
        <f t="array" ref="I2">SUM(I3:I778)</f>
        <v>0</v>
      </c>
      <c r="J2" s="32">
        <f t="array" ref="J2">SUM(J3:J778)</f>
        <v>0</v>
      </c>
      <c r="K2" s="32">
        <f t="array" ref="K2">SUM(K3:K778)</f>
        <v>0</v>
      </c>
      <c r="L2" s="32">
        <f t="array" ref="L2">SUM(L3:L778)</f>
        <v>0</v>
      </c>
      <c r="M2" s="32">
        <f t="array" ref="M2">SUM(M3:M778)</f>
        <v>0</v>
      </c>
      <c r="N2" s="32">
        <f t="array" ref="N2">SUM(N3:N778)</f>
        <v>0</v>
      </c>
      <c r="O2" s="32">
        <f t="array" ref="O2">SUM(O3:O778)</f>
        <v>0</v>
      </c>
      <c r="P2" s="32">
        <f t="array" ref="P2">SUM(P3:P778)</f>
        <v>0</v>
      </c>
      <c r="Q2" s="32">
        <f t="array" ref="Q2">SUM(Q3:Q778)</f>
        <v>0</v>
      </c>
      <c r="R2" s="32">
        <f t="array" ref="R2">SUM(R3:R778)</f>
        <v>0</v>
      </c>
      <c r="S2" s="32">
        <f t="array" ref="S2">SUM(S3:S778)</f>
        <v>0</v>
      </c>
      <c r="T2" s="32">
        <f t="array" ref="T2">SUM(T3:T778)</f>
        <v>0</v>
      </c>
      <c r="U2" s="32">
        <f t="array" ref="U2">SUM(U3:U778)</f>
        <v>0</v>
      </c>
      <c r="V2" s="32">
        <f t="array" ref="V2">SUM(V3:V778)</f>
        <v>0</v>
      </c>
      <c r="W2" s="37"/>
    </row>
    <row r="3" s="23" customFormat="1" spans="1:14">
      <c r="A3" s="23" t="s">
        <v>53</v>
      </c>
      <c r="B3" s="23" t="s">
        <v>54</v>
      </c>
      <c r="C3" s="23" t="s">
        <v>55</v>
      </c>
      <c r="D3" s="23" t="s">
        <v>56</v>
      </c>
      <c r="E3" s="23" t="s">
        <v>57</v>
      </c>
      <c r="F3" s="23" t="s">
        <v>58</v>
      </c>
      <c r="G3" s="33" t="s">
        <v>59</v>
      </c>
      <c r="H3" s="34">
        <v>10</v>
      </c>
      <c r="I3" s="36" t="s">
        <v>60</v>
      </c>
      <c r="J3" s="36" t="s">
        <v>60</v>
      </c>
      <c r="K3" s="36" t="s">
        <v>60</v>
      </c>
      <c r="L3" s="36"/>
      <c r="M3" s="36"/>
      <c r="N3" s="36"/>
    </row>
    <row r="4" s="23" customFormat="1" spans="1:14">
      <c r="A4" s="23" t="s">
        <v>53</v>
      </c>
      <c r="B4" s="23" t="s">
        <v>61</v>
      </c>
      <c r="C4" s="23" t="s">
        <v>62</v>
      </c>
      <c r="D4" s="23" t="s">
        <v>63</v>
      </c>
      <c r="E4" s="23" t="s">
        <v>64</v>
      </c>
      <c r="F4" s="23" t="s">
        <v>65</v>
      </c>
      <c r="G4" s="33" t="s">
        <v>59</v>
      </c>
      <c r="H4" s="34">
        <v>10</v>
      </c>
      <c r="I4" s="36" t="s">
        <v>60</v>
      </c>
      <c r="J4" s="36" t="s">
        <v>60</v>
      </c>
      <c r="K4" s="36" t="s">
        <v>60</v>
      </c>
      <c r="L4" s="36"/>
      <c r="M4" s="36"/>
      <c r="N4" s="36"/>
    </row>
    <row r="5" s="23" customFormat="1" spans="1:14">
      <c r="A5" s="23" t="s">
        <v>66</v>
      </c>
      <c r="B5" s="23" t="s">
        <v>67</v>
      </c>
      <c r="C5" s="23" t="s">
        <v>68</v>
      </c>
      <c r="D5" s="23" t="s">
        <v>69</v>
      </c>
      <c r="E5" s="23" t="s">
        <v>70</v>
      </c>
      <c r="F5" s="23" t="s">
        <v>71</v>
      </c>
      <c r="G5" s="33" t="s">
        <v>59</v>
      </c>
      <c r="H5" s="34">
        <v>12</v>
      </c>
      <c r="I5" s="36" t="s">
        <v>60</v>
      </c>
      <c r="J5" s="36" t="s">
        <v>60</v>
      </c>
      <c r="K5" s="36" t="s">
        <v>60</v>
      </c>
      <c r="L5" s="36" t="s">
        <v>60</v>
      </c>
      <c r="M5" s="36" t="s">
        <v>60</v>
      </c>
      <c r="N5" s="36"/>
    </row>
    <row r="6" s="23" customFormat="1" spans="1:14">
      <c r="A6" s="23" t="s">
        <v>66</v>
      </c>
      <c r="B6" s="23" t="s">
        <v>72</v>
      </c>
      <c r="C6" s="23" t="s">
        <v>73</v>
      </c>
      <c r="D6" s="23" t="s">
        <v>74</v>
      </c>
      <c r="E6" s="23" t="s">
        <v>75</v>
      </c>
      <c r="F6" s="23" t="s">
        <v>76</v>
      </c>
      <c r="G6" s="33" t="s">
        <v>59</v>
      </c>
      <c r="H6" s="34">
        <v>8</v>
      </c>
      <c r="I6" s="36" t="s">
        <v>60</v>
      </c>
      <c r="J6" s="36" t="s">
        <v>60</v>
      </c>
      <c r="K6" s="36" t="s">
        <v>60</v>
      </c>
      <c r="L6" s="36"/>
      <c r="M6" s="36"/>
      <c r="N6" s="36"/>
    </row>
    <row r="7" s="23" customFormat="1" spans="1:14">
      <c r="A7" s="23" t="s">
        <v>66</v>
      </c>
      <c r="B7" s="23" t="s">
        <v>77</v>
      </c>
      <c r="C7" s="23" t="s">
        <v>78</v>
      </c>
      <c r="D7" s="23" t="s">
        <v>79</v>
      </c>
      <c r="E7" s="23" t="s">
        <v>80</v>
      </c>
      <c r="F7" s="23" t="s">
        <v>81</v>
      </c>
      <c r="G7" s="33" t="s">
        <v>59</v>
      </c>
      <c r="H7" s="34">
        <v>12</v>
      </c>
      <c r="I7" s="36" t="s">
        <v>60</v>
      </c>
      <c r="J7" s="36" t="s">
        <v>60</v>
      </c>
      <c r="K7" s="36" t="s">
        <v>60</v>
      </c>
      <c r="L7" s="36" t="s">
        <v>60</v>
      </c>
      <c r="M7" s="36" t="s">
        <v>60</v>
      </c>
      <c r="N7" s="36" t="s">
        <v>60</v>
      </c>
    </row>
    <row r="8" s="23" customFormat="1" spans="1:14">
      <c r="A8" s="23" t="s">
        <v>82</v>
      </c>
      <c r="B8" s="23" t="s">
        <v>83</v>
      </c>
      <c r="C8" s="23" t="s">
        <v>84</v>
      </c>
      <c r="D8" s="23" t="s">
        <v>85</v>
      </c>
      <c r="E8" s="23" t="s">
        <v>86</v>
      </c>
      <c r="F8" s="23" t="s">
        <v>87</v>
      </c>
      <c r="G8" s="33" t="s">
        <v>59</v>
      </c>
      <c r="H8" s="34">
        <v>8</v>
      </c>
      <c r="I8" s="36" t="s">
        <v>60</v>
      </c>
      <c r="J8" s="36" t="s">
        <v>60</v>
      </c>
      <c r="K8" s="36" t="s">
        <v>60</v>
      </c>
      <c r="L8" s="36"/>
      <c r="M8" s="36"/>
      <c r="N8" s="36"/>
    </row>
    <row r="9" s="23" customFormat="1" spans="1:14">
      <c r="A9" s="23" t="s">
        <v>82</v>
      </c>
      <c r="B9" s="23" t="s">
        <v>88</v>
      </c>
      <c r="C9" s="23" t="s">
        <v>89</v>
      </c>
      <c r="D9" s="23" t="s">
        <v>90</v>
      </c>
      <c r="E9" s="23" t="s">
        <v>91</v>
      </c>
      <c r="F9" s="23" t="s">
        <v>92</v>
      </c>
      <c r="G9" s="33" t="s">
        <v>59</v>
      </c>
      <c r="H9" s="34">
        <v>12</v>
      </c>
      <c r="I9" s="36" t="s">
        <v>60</v>
      </c>
      <c r="J9" s="36" t="s">
        <v>60</v>
      </c>
      <c r="K9" s="36" t="s">
        <v>60</v>
      </c>
      <c r="L9" s="36" t="s">
        <v>60</v>
      </c>
      <c r="M9" s="36" t="s">
        <v>60</v>
      </c>
      <c r="N9" s="36"/>
    </row>
    <row r="10" s="23" customFormat="1" spans="1:14">
      <c r="A10" s="23" t="s">
        <v>82</v>
      </c>
      <c r="B10" s="23" t="s">
        <v>93</v>
      </c>
      <c r="C10" s="23" t="s">
        <v>94</v>
      </c>
      <c r="D10" s="23" t="s">
        <v>95</v>
      </c>
      <c r="E10" s="23" t="s">
        <v>96</v>
      </c>
      <c r="F10" s="23" t="s">
        <v>97</v>
      </c>
      <c r="G10" s="33" t="s">
        <v>59</v>
      </c>
      <c r="H10" s="34">
        <v>10</v>
      </c>
      <c r="I10" s="36" t="s">
        <v>60</v>
      </c>
      <c r="J10" s="36" t="s">
        <v>60</v>
      </c>
      <c r="K10" s="36" t="s">
        <v>60</v>
      </c>
      <c r="L10" s="36" t="s">
        <v>60</v>
      </c>
      <c r="M10" s="36" t="s">
        <v>60</v>
      </c>
      <c r="N10" s="36" t="s">
        <v>60</v>
      </c>
    </row>
    <row r="11" s="23" customFormat="1" spans="1:14">
      <c r="A11" s="23" t="s">
        <v>98</v>
      </c>
      <c r="B11" s="23" t="s">
        <v>99</v>
      </c>
      <c r="C11" s="23" t="s">
        <v>100</v>
      </c>
      <c r="D11" s="23" t="s">
        <v>101</v>
      </c>
      <c r="E11" s="23" t="s">
        <v>102</v>
      </c>
      <c r="F11" s="23" t="s">
        <v>103</v>
      </c>
      <c r="G11" s="33" t="s">
        <v>59</v>
      </c>
      <c r="H11" s="34">
        <v>10</v>
      </c>
      <c r="I11" s="36" t="s">
        <v>60</v>
      </c>
      <c r="J11" s="36" t="s">
        <v>60</v>
      </c>
      <c r="K11" s="36" t="s">
        <v>60</v>
      </c>
      <c r="L11" s="36" t="s">
        <v>60</v>
      </c>
      <c r="M11" s="36"/>
      <c r="N11" s="36"/>
    </row>
    <row r="12" s="23" customFormat="1" spans="1:14">
      <c r="A12" s="23" t="s">
        <v>98</v>
      </c>
      <c r="B12" s="23" t="s">
        <v>104</v>
      </c>
      <c r="C12" s="23" t="s">
        <v>105</v>
      </c>
      <c r="D12" s="23" t="s">
        <v>106</v>
      </c>
      <c r="E12" s="23" t="s">
        <v>107</v>
      </c>
      <c r="F12" s="23" t="s">
        <v>108</v>
      </c>
      <c r="G12" s="33" t="s">
        <v>59</v>
      </c>
      <c r="H12" s="34">
        <v>12</v>
      </c>
      <c r="I12" s="36" t="s">
        <v>60</v>
      </c>
      <c r="J12" s="36" t="s">
        <v>60</v>
      </c>
      <c r="K12" s="36" t="s">
        <v>60</v>
      </c>
      <c r="L12" s="36" t="s">
        <v>60</v>
      </c>
      <c r="M12" s="36" t="s">
        <v>60</v>
      </c>
      <c r="N12" s="36"/>
    </row>
    <row r="13" s="23" customFormat="1" spans="1:14">
      <c r="A13" s="23" t="s">
        <v>98</v>
      </c>
      <c r="B13" s="23" t="s">
        <v>109</v>
      </c>
      <c r="C13" s="23" t="s">
        <v>110</v>
      </c>
      <c r="D13" s="23" t="s">
        <v>111</v>
      </c>
      <c r="E13" s="23" t="s">
        <v>112</v>
      </c>
      <c r="F13" s="23" t="s">
        <v>113</v>
      </c>
      <c r="G13" s="33" t="s">
        <v>59</v>
      </c>
      <c r="H13" s="34">
        <v>8</v>
      </c>
      <c r="I13" s="36" t="s">
        <v>60</v>
      </c>
      <c r="J13" s="36" t="s">
        <v>60</v>
      </c>
      <c r="K13" s="36" t="s">
        <v>60</v>
      </c>
      <c r="L13" s="36" t="s">
        <v>60</v>
      </c>
      <c r="M13" s="36" t="s">
        <v>60</v>
      </c>
      <c r="N13" s="36"/>
    </row>
  </sheetData>
  <mergeCells count="7">
    <mergeCell ref="A1:A2"/>
    <mergeCell ref="B1:B2"/>
    <mergeCell ref="C1:C2"/>
    <mergeCell ref="D1:D2"/>
    <mergeCell ref="E1:E2"/>
    <mergeCell ref="F1:F2"/>
    <mergeCell ref="G1:G2"/>
  </mergeCells>
  <pageMargins left="0.75" right="0.75" top="1" bottom="1" header="0.5" footer="0.5"/>
  <pageSetup paperSize="1" orientation="portrait" horizontalDpi="600" verticalDpi="600"/>
  <headerFooter>
    <oddFooter>&amp;C&amp;"Helvetica Neue,Regular"&amp;12&amp;K000000&amp;P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zoomScaleSheetLayoutView="60" workbookViewId="0">
      <selection activeCell="F7" sqref="F7"/>
    </sheetView>
  </sheetViews>
  <sheetFormatPr defaultColWidth="8.85185185185185" defaultRowHeight="13.15" customHeight="1" outlineLevelRow="7" outlineLevelCol="5"/>
  <cols>
    <col min="1" max="1" width="11.6666666666667" style="1" customWidth="1"/>
    <col min="2" max="2" width="14.1111111111111" style="1" customWidth="1"/>
    <col min="3" max="3" width="61.4444444444444" style="1" customWidth="1"/>
    <col min="4" max="4" width="45.8518518518519" style="1" customWidth="1"/>
    <col min="5" max="5" width="8.85185185185185" style="1" customWidth="1"/>
    <col min="6" max="16384" width="8.85185185185185" style="1"/>
  </cols>
  <sheetData>
    <row r="1" ht="49.5" customHeight="1" spans="1:4">
      <c r="A1" s="18" t="s">
        <v>114</v>
      </c>
      <c r="B1" s="18" t="s">
        <v>115</v>
      </c>
      <c r="C1" s="18" t="s">
        <v>116</v>
      </c>
      <c r="D1" s="18" t="s">
        <v>117</v>
      </c>
    </row>
    <row r="2" ht="30.6" customHeight="1" spans="1:4">
      <c r="A2" s="19" t="s">
        <v>118</v>
      </c>
      <c r="B2" s="19" t="s">
        <v>40</v>
      </c>
      <c r="C2" s="19" t="s">
        <v>119</v>
      </c>
      <c r="D2" s="19" t="s">
        <v>120</v>
      </c>
    </row>
    <row r="3" ht="40" customHeight="1" spans="1:6">
      <c r="A3" s="19" t="s">
        <v>118</v>
      </c>
      <c r="B3" s="19" t="s">
        <v>42</v>
      </c>
      <c r="C3" s="19" t="s">
        <v>121</v>
      </c>
      <c r="D3" s="19" t="s">
        <v>122</v>
      </c>
      <c r="F3" s="20"/>
    </row>
    <row r="4" ht="33" customHeight="1" spans="1:4">
      <c r="A4" s="19" t="s">
        <v>123</v>
      </c>
      <c r="B4" s="19" t="s">
        <v>41</v>
      </c>
      <c r="C4" s="19" t="s">
        <v>124</v>
      </c>
      <c r="D4" s="19" t="s">
        <v>125</v>
      </c>
    </row>
    <row r="5" ht="37" customHeight="1" spans="1:4">
      <c r="A5" s="19" t="s">
        <v>126</v>
      </c>
      <c r="B5" s="19" t="s">
        <v>39</v>
      </c>
      <c r="C5" s="19" t="s">
        <v>127</v>
      </c>
      <c r="D5" s="19" t="s">
        <v>128</v>
      </c>
    </row>
    <row r="6" ht="34" customHeight="1" spans="1:4">
      <c r="A6" s="19" t="s">
        <v>126</v>
      </c>
      <c r="B6" s="19" t="s">
        <v>41</v>
      </c>
      <c r="C6" s="19" t="s">
        <v>129</v>
      </c>
      <c r="D6" s="19" t="s">
        <v>130</v>
      </c>
    </row>
    <row r="7" ht="33" customHeight="1" spans="1:4">
      <c r="A7" s="19" t="s">
        <v>131</v>
      </c>
      <c r="B7" s="19" t="s">
        <v>40</v>
      </c>
      <c r="C7" s="19" t="s">
        <v>132</v>
      </c>
      <c r="D7" s="19" t="s">
        <v>133</v>
      </c>
    </row>
    <row r="8" ht="13.7" customHeight="1" spans="1:4">
      <c r="A8" s="21"/>
      <c r="B8" s="21"/>
      <c r="C8" s="22"/>
      <c r="D8" s="22"/>
    </row>
  </sheetData>
  <pageMargins left="0.7" right="0.7" top="0.75" bottom="0.75" header="0.3" footer="0.3"/>
  <pageSetup paperSize="1" orientation="portrait" horizontalDpi="600" verticalDpi="600"/>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showGridLines="0" zoomScale="80" zoomScaleNormal="80" zoomScaleSheetLayoutView="60" workbookViewId="0">
      <selection activeCell="F12" sqref="F12"/>
    </sheetView>
  </sheetViews>
  <sheetFormatPr defaultColWidth="9.13888888888889" defaultRowHeight="13.15" customHeight="1"/>
  <cols>
    <col min="1" max="1" width="6.85185185185185" style="1" customWidth="1"/>
    <col min="2" max="2" width="12.6388888888889" style="1" customWidth="1"/>
    <col min="3" max="3" width="14.7222222222222" style="1" customWidth="1"/>
    <col min="4" max="4" width="15.5555555555556" style="1" customWidth="1"/>
    <col min="5" max="5" width="45.2777777777778" style="1" customWidth="1"/>
    <col min="6" max="6" width="40.712962962963" style="1" customWidth="1"/>
    <col min="7" max="7" width="35.287037037037" style="1" customWidth="1"/>
    <col min="8" max="8" width="39.8518518518519" style="1" customWidth="1"/>
    <col min="9" max="9" width="47.8518518518519" style="1" customWidth="1"/>
    <col min="10" max="10" width="9.13888888888889" style="1" customWidth="1"/>
    <col min="11" max="16384" width="9.13888888888889" style="1"/>
  </cols>
  <sheetData>
    <row r="1" ht="45.75" customHeight="1" spans="1:9">
      <c r="A1" s="2" t="s">
        <v>134</v>
      </c>
      <c r="B1" s="2" t="s">
        <v>135</v>
      </c>
      <c r="C1" s="2" t="s">
        <v>136</v>
      </c>
      <c r="D1" s="2" t="s">
        <v>137</v>
      </c>
      <c r="E1" s="2" t="s">
        <v>138</v>
      </c>
      <c r="F1" s="2" t="s">
        <v>139</v>
      </c>
      <c r="G1" s="2" t="s">
        <v>140</v>
      </c>
      <c r="H1" s="2" t="s">
        <v>141</v>
      </c>
      <c r="I1" s="2" t="s">
        <v>142</v>
      </c>
    </row>
    <row r="2" ht="45" customHeight="1" spans="1:9">
      <c r="A2" s="3">
        <v>1</v>
      </c>
      <c r="B2" s="3">
        <v>1</v>
      </c>
      <c r="C2" s="4">
        <v>45901</v>
      </c>
      <c r="D2" s="4">
        <v>45909</v>
      </c>
      <c r="E2" s="5" t="s">
        <v>143</v>
      </c>
      <c r="F2" s="3" t="s">
        <v>144</v>
      </c>
      <c r="G2" s="3" t="s">
        <v>145</v>
      </c>
      <c r="H2" s="3" t="s">
        <v>146</v>
      </c>
      <c r="I2" s="3" t="s">
        <v>147</v>
      </c>
    </row>
    <row r="3" ht="45" customHeight="1" spans="1:9">
      <c r="A3" s="3">
        <v>2</v>
      </c>
      <c r="B3" s="3">
        <v>2</v>
      </c>
      <c r="C3" s="4">
        <v>45918</v>
      </c>
      <c r="D3" s="4">
        <v>45932</v>
      </c>
      <c r="E3" s="5" t="s">
        <v>143</v>
      </c>
      <c r="F3" s="3" t="s">
        <v>148</v>
      </c>
      <c r="G3" s="3" t="s">
        <v>149</v>
      </c>
      <c r="H3" s="3" t="s">
        <v>150</v>
      </c>
      <c r="I3" s="3" t="s">
        <v>151</v>
      </c>
    </row>
    <row r="4" ht="42" customHeight="1" spans="1:9">
      <c r="A4" s="3">
        <v>3</v>
      </c>
      <c r="B4" s="3">
        <v>3</v>
      </c>
      <c r="C4" s="4">
        <v>45933</v>
      </c>
      <c r="D4" s="4">
        <v>45946</v>
      </c>
      <c r="E4" s="5" t="s">
        <v>152</v>
      </c>
      <c r="F4" s="3" t="s">
        <v>153</v>
      </c>
      <c r="G4" s="3" t="s">
        <v>154</v>
      </c>
      <c r="H4" s="3" t="s">
        <v>155</v>
      </c>
      <c r="I4" s="3" t="s">
        <v>156</v>
      </c>
    </row>
    <row r="5" ht="45" customHeight="1" spans="1:9">
      <c r="A5" s="3">
        <v>4</v>
      </c>
      <c r="B5" s="3">
        <v>4</v>
      </c>
      <c r="C5" s="4">
        <v>45947</v>
      </c>
      <c r="D5" s="4">
        <v>45960</v>
      </c>
      <c r="E5" s="5" t="s">
        <v>157</v>
      </c>
      <c r="F5" s="3" t="s">
        <v>158</v>
      </c>
      <c r="G5" s="3" t="s">
        <v>159</v>
      </c>
      <c r="H5" s="3" t="s">
        <v>160</v>
      </c>
      <c r="I5" s="3" t="s">
        <v>161</v>
      </c>
    </row>
    <row r="6" ht="17.1" customHeight="1" spans="1:9">
      <c r="A6" s="6"/>
      <c r="B6" s="7"/>
      <c r="C6" s="7"/>
      <c r="D6" s="7"/>
      <c r="E6" s="7"/>
      <c r="F6" s="7"/>
      <c r="G6" s="7"/>
      <c r="H6" s="7"/>
      <c r="I6" s="14"/>
    </row>
    <row r="7" ht="17.1" customHeight="1" spans="1:9">
      <c r="A7" s="8"/>
      <c r="B7" s="9"/>
      <c r="C7" s="9"/>
      <c r="D7" s="9"/>
      <c r="E7" s="9"/>
      <c r="F7" s="9"/>
      <c r="G7" s="9"/>
      <c r="H7" s="9"/>
      <c r="I7" s="15"/>
    </row>
    <row r="8" ht="17.1" customHeight="1" spans="1:9">
      <c r="A8" s="10"/>
      <c r="B8" s="11"/>
      <c r="C8" s="11"/>
      <c r="D8" s="11"/>
      <c r="E8" s="11"/>
      <c r="F8" s="11"/>
      <c r="G8" s="11"/>
      <c r="H8" s="11"/>
      <c r="I8" s="16"/>
    </row>
    <row r="9" ht="17.1" customHeight="1" spans="1:9">
      <c r="A9" s="12"/>
      <c r="B9" s="13"/>
      <c r="C9" s="13"/>
      <c r="D9" s="13"/>
      <c r="E9" s="13"/>
      <c r="F9" s="13"/>
      <c r="G9" s="13"/>
      <c r="H9" s="13"/>
      <c r="I9" s="17"/>
    </row>
  </sheetData>
  <pageMargins left="0.7" right="0.7" top="0.75" bottom="0.75" header="0.3" footer="0.3"/>
  <pageSetup paperSize="1" orientation="portrait" horizontalDpi="600" verticalDpi="600"/>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Export Summary</vt: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WPS_1752897158</cp:lastModifiedBy>
  <dcterms:created xsi:type="dcterms:W3CDTF">2025-10-24T13:19:00Z</dcterms:created>
  <dcterms:modified xsi:type="dcterms:W3CDTF">2025-11-02T16:38:54Z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F626F290A3B64ED78CA3405CB9F6F2C8_13</vt:lpwstr>
  </property>
  <property fmtid="{D5CDD505-2E9C-101B-9397-08002B2CF9AE}" pid="3" name="KSOProductBuildVer">
    <vt:lpwstr>2057-12.2.0.23149</vt:lpwstr>
  </property>
</Properties>
</file>